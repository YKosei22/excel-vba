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1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a871bc3c7f5e161/デスクトップ/"/>
    </mc:Choice>
  </mc:AlternateContent>
  <xr:revisionPtr revIDLastSave="0" documentId="8_{85908F93-D098-405C-9B9E-6C0AB5FEC6AA}" xr6:coauthVersionLast="47" xr6:coauthVersionMax="47" xr10:uidLastSave="{00000000-0000-0000-0000-000000000000}"/>
  <bookViews>
    <workbookView xWindow="-120" yWindow="-120" windowWidth="20730" windowHeight="11160" xr2:uid="{7A24A693-0A48-4C89-9F18-C5CB180BA539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8" i="1" l="1"/>
  <c r="C183" i="1"/>
  <c r="C184" i="1"/>
  <c r="C185" i="1"/>
  <c r="C186" i="1"/>
  <c r="C187" i="1"/>
  <c r="C182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5" i="1"/>
  <c r="C9" i="1"/>
  <c r="C10" i="1"/>
  <c r="C11" i="1"/>
  <c r="C12" i="1"/>
  <c r="C13" i="1"/>
  <c r="C14" i="1"/>
  <c r="C8" i="1"/>
  <c r="C6" i="1"/>
  <c r="B6" i="1"/>
  <c r="B5" i="1"/>
  <c r="H2" i="1"/>
  <c r="E6" i="1" s="1"/>
  <c r="H5" i="1" s="1"/>
  <c r="B2" i="1"/>
  <c r="G5" i="1" l="1"/>
  <c r="C3" i="1"/>
  <c r="H4" i="1"/>
  <c r="G4" i="1" s="1"/>
  <c r="B3" i="1"/>
  <c r="H3" i="1" l="1"/>
  <c r="G3" i="1" s="1"/>
  <c r="B4" i="1" l="1"/>
  <c r="H6" i="1" s="1"/>
  <c r="G6" i="1" s="1"/>
  <c r="C4" i="1"/>
</calcChain>
</file>

<file path=xl/sharedStrings.xml><?xml version="1.0" encoding="utf-8"?>
<sst xmlns="http://schemas.openxmlformats.org/spreadsheetml/2006/main" count="30" uniqueCount="28">
  <si>
    <t>A</t>
    <phoneticPr fontId="1"/>
  </si>
  <si>
    <t>B</t>
    <phoneticPr fontId="1"/>
  </si>
  <si>
    <t>C</t>
    <phoneticPr fontId="1"/>
  </si>
  <si>
    <t>D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</si>
  <si>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</si>
  <si>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</si>
  <si>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</si>
  <si>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</si>
  <si>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s</t>
    <phoneticPr fontId="1"/>
  </si>
  <si>
    <r>
      <rPr>
        <sz val="11"/>
        <color theme="1"/>
        <rFont val="Yu Gothic"/>
        <family val="3"/>
        <charset val="128"/>
      </rPr>
      <t>θ</t>
    </r>
    <r>
      <rPr>
        <sz val="11"/>
        <color theme="1"/>
        <rFont val="游ゴシック"/>
        <family val="3"/>
        <charset val="128"/>
      </rPr>
      <t>A</t>
    </r>
    <phoneticPr fontId="1"/>
  </si>
  <si>
    <t>θB</t>
    <phoneticPr fontId="1"/>
  </si>
  <si>
    <t>θD</t>
    <phoneticPr fontId="1"/>
  </si>
  <si>
    <t>ϕB</t>
    <phoneticPr fontId="1"/>
  </si>
  <si>
    <t>点</t>
    <rPh sb="0" eb="1">
      <t>テン</t>
    </rPh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</si>
  <si>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</si>
  <si>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</si>
  <si>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長さ</t>
    <rPh sb="0" eb="1">
      <t>ナガ</t>
    </rPh>
    <phoneticPr fontId="1"/>
  </si>
  <si>
    <t>弧度法</t>
    <rPh sb="0" eb="3">
      <t>コドホウ</t>
    </rPh>
    <phoneticPr fontId="1"/>
  </si>
  <si>
    <t>度数砲</t>
    <rPh sb="0" eb="3">
      <t>ドスウホウ</t>
    </rPh>
    <phoneticPr fontId="1"/>
  </si>
  <si>
    <t>ϕD</t>
    <phoneticPr fontId="1"/>
  </si>
  <si>
    <t>リンク機構</t>
    <rPh sb="3" eb="5">
      <t>キコウ</t>
    </rPh>
    <phoneticPr fontId="1"/>
  </si>
  <si>
    <t>散布図</t>
    <rPh sb="0" eb="3">
      <t>サンプズ</t>
    </rPh>
    <phoneticPr fontId="1"/>
  </si>
  <si>
    <t>φD分布</t>
    <rPh sb="2" eb="4">
      <t>ブンプ</t>
    </rPh>
    <phoneticPr fontId="1"/>
  </si>
  <si>
    <t>折れ線図</t>
    <rPh sb="0" eb="1">
      <t>オ</t>
    </rPh>
    <rPh sb="2" eb="4">
      <t>センズ</t>
    </rPh>
    <phoneticPr fontId="1"/>
  </si>
  <si>
    <t>変更可能</t>
    <rPh sb="0" eb="4">
      <t>ヘンコウカノウ</t>
    </rPh>
    <phoneticPr fontId="1"/>
  </si>
  <si>
    <t>人に当たる角度</t>
    <rPh sb="0" eb="1">
      <t>ヒト</t>
    </rPh>
    <rPh sb="2" eb="3">
      <t>ア</t>
    </rPh>
    <rPh sb="5" eb="7">
      <t>カクド</t>
    </rPh>
    <phoneticPr fontId="1"/>
  </si>
  <si>
    <t>di</t>
    <phoneticPr fontId="1"/>
  </si>
  <si>
    <t>α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</si>
</sst>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11"/>
      <color theme="1"/>
      <name val="游ゴシック"/>
      <family val="3"/>
      <charset val="128"/>
    </font>
    <font>
      <sz val="11"/>
      <color theme="4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theme="4"/>
      </left>
      <right style="thick">
        <color theme="4"/>
      </right>
      <top style="thick">
        <color theme="4"/>
      </top>
      <bottom style="thin">
        <color indexed="64"/>
      </bottom>
      <diagonal/>
    </border>
    <border>
      <left style="thick">
        <color theme="4"/>
      </left>
      <right style="thick">
        <color theme="4"/>
      </right>
      <top style="thin">
        <color indexed="64"/>
      </top>
      <bottom style="thin">
        <color indexed="64"/>
      </bottom>
      <diagonal/>
    </border>
    <border>
      <left style="thick">
        <color theme="4"/>
      </left>
      <right style="thick">
        <color theme="4"/>
      </right>
      <top style="thin">
        <color indexed="64"/>
      </top>
      <bottom style="thick">
        <color theme="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1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3" fillId="0" borderId="17" xfId="0" applyFont="1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3" fillId="0" borderId="7" xfId="0" applyFont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0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10" Type="http://schemas.microsoft.com/office/2017/10/relationships/person" Target="persons/person1.xml"/><Relationship Id="rId4" Type="http://schemas.openxmlformats.org/officeDocument/2006/relationships/sharedStrings" Target="sharedStrings.xml"/><Relationship Id="rId9" Type="http://schemas.microsoft.com/office/2017/10/relationships/person" Target="persons/perso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Sheet1!$B$2:$B$6</c:f>
              <c:numCache>
                <c:formatCode>General</c:formatCode>
                <c:ptCount val="5"/>
                <c:pt idx="0">
                  <c:v>-96.5</c:v>
                </c:pt>
                <c:pt idx="1">
                  <c:v>-81.502284572654133</c:v>
                </c:pt>
                <c:pt idx="2">
                  <c:v>118.22566843454408</c:v>
                </c:pt>
                <c:pt idx="3">
                  <c:v>96.5</c:v>
                </c:pt>
                <c:pt idx="4">
                  <c:v>-96.5</c:v>
                </c:pt>
              </c:numCache>
            </c:numRef>
          </c:xVal>
          <c:yVal>
            <c:numRef>
              <c:f>Sheet1!$C$2:$C$6</c:f>
              <c:numCache>
                <c:formatCode>General</c:formatCode>
                <c:ptCount val="5"/>
                <c:pt idx="0">
                  <c:v>-50</c:v>
                </c:pt>
                <c:pt idx="1">
                  <c:v>-50.261786096559241</c:v>
                </c:pt>
                <c:pt idx="2">
                  <c:v>-20.050119681837568</c:v>
                </c:pt>
                <c:pt idx="3">
                  <c:v>-50</c:v>
                </c:pt>
                <c:pt idx="4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D-44E2-A77E-B595E6D8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528040"/>
        <c:axId val="546530560"/>
      </c:scatterChart>
      <c:valAx>
        <c:axId val="546528040"/>
        <c:scaling>
          <c:orientation val="minMax"/>
          <c:max val="240"/>
          <c:min val="-240"/>
        </c:scaling>
        <c:delete val="1"/>
        <c:axPos val="b"/>
        <c:numFmt formatCode="General" sourceLinked="1"/>
        <c:majorTickMark val="out"/>
        <c:minorTickMark val="none"/>
        <c:tickLblPos val="nextTo"/>
        <c:crossAx val="546530560"/>
        <c:crosses val="autoZero"/>
        <c:crossBetween val="midCat"/>
      </c:valAx>
      <c:valAx>
        <c:axId val="546530560"/>
        <c:scaling>
          <c:orientation val="minMax"/>
          <c:max val="180"/>
          <c:min val="-180"/>
        </c:scaling>
        <c:delete val="1"/>
        <c:axPos val="l"/>
        <c:numFmt formatCode="General" sourceLinked="1"/>
        <c:majorTickMark val="out"/>
        <c:minorTickMark val="none"/>
        <c:tickLblPos val="nextTo"/>
        <c:crossAx val="54652804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dk1">
                  <a:tint val="885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dk1">
                  <a:tint val="88500"/>
                </a:schemeClr>
              </a:solidFill>
              <a:ln w="6350" cap="flat" cmpd="sng" algn="ctr">
                <a:solidFill>
                  <a:schemeClr val="dk1">
                    <a:tint val="88500"/>
                  </a:schemeClr>
                </a:solidFill>
                <a:prstDash val="solid"/>
                <a:round/>
              </a:ln>
              <a:effectLst/>
            </c:spPr>
          </c:marker>
          <c:val>
            <c:numRef>
              <c:f>Sheet1!$B$48:$B$158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</c:v>
                </c:pt>
                <c:pt idx="36">
                  <c:v>22</c:v>
                </c:pt>
                <c:pt idx="37">
                  <c:v>14</c:v>
                </c:pt>
                <c:pt idx="38">
                  <c:v>12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4</c:v>
                </c:pt>
                <c:pt idx="44">
                  <c:v>8</c:v>
                </c:pt>
                <c:pt idx="45">
                  <c:v>4</c:v>
                </c:pt>
                <c:pt idx="46">
                  <c:v>8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6</c:v>
                </c:pt>
                <c:pt idx="51">
                  <c:v>6</c:v>
                </c:pt>
                <c:pt idx="52">
                  <c:v>4</c:v>
                </c:pt>
                <c:pt idx="53">
                  <c:v>4</c:v>
                </c:pt>
                <c:pt idx="54">
                  <c:v>6</c:v>
                </c:pt>
                <c:pt idx="55">
                  <c:v>4</c:v>
                </c:pt>
                <c:pt idx="56">
                  <c:v>6</c:v>
                </c:pt>
                <c:pt idx="57">
                  <c:v>4</c:v>
                </c:pt>
                <c:pt idx="58">
                  <c:v>4</c:v>
                </c:pt>
                <c:pt idx="59">
                  <c:v>6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6</c:v>
                </c:pt>
                <c:pt idx="64">
                  <c:v>6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6</c:v>
                </c:pt>
                <c:pt idx="70">
                  <c:v>4</c:v>
                </c:pt>
                <c:pt idx="71">
                  <c:v>4</c:v>
                </c:pt>
                <c:pt idx="72">
                  <c:v>6</c:v>
                </c:pt>
                <c:pt idx="73">
                  <c:v>4</c:v>
                </c:pt>
                <c:pt idx="74">
                  <c:v>6</c:v>
                </c:pt>
                <c:pt idx="75">
                  <c:v>4</c:v>
                </c:pt>
                <c:pt idx="76">
                  <c:v>4</c:v>
                </c:pt>
                <c:pt idx="77">
                  <c:v>8</c:v>
                </c:pt>
                <c:pt idx="78">
                  <c:v>4</c:v>
                </c:pt>
                <c:pt idx="79">
                  <c:v>6</c:v>
                </c:pt>
                <c:pt idx="80">
                  <c:v>6</c:v>
                </c:pt>
                <c:pt idx="81">
                  <c:v>8</c:v>
                </c:pt>
                <c:pt idx="82">
                  <c:v>6</c:v>
                </c:pt>
                <c:pt idx="83">
                  <c:v>8</c:v>
                </c:pt>
                <c:pt idx="84">
                  <c:v>10</c:v>
                </c:pt>
                <c:pt idx="85">
                  <c:v>14</c:v>
                </c:pt>
                <c:pt idx="86">
                  <c:v>24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18-405E-AFD8-3EF81D21F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42080"/>
        <c:axId val="546533800"/>
      </c:lineChart>
      <c:catAx>
        <c:axId val="5465420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6533800"/>
        <c:crosses val="autoZero"/>
        <c:auto val="1"/>
        <c:lblAlgn val="ctr"/>
        <c:lblOffset val="100"/>
        <c:noMultiLvlLbl val="0"/>
      </c:catAx>
      <c:valAx>
        <c:axId val="54653380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ysClr val="windowText" lastClr="000000"/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6542080"/>
        <c:crosses val="autoZero"/>
        <c:crossBetween val="between"/>
      </c:valAx>
      <c:spPr>
        <a:solidFill>
          <a:schemeClr val="bg1"/>
        </a:solidFill>
        <a:ln>
          <a:solidFill>
            <a:sysClr val="windowText" lastClr="000000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accent1"/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dk1">
                  <a:tint val="88500"/>
                </a:schemeClr>
              </a:solidFill>
              <a:prstDash val="solid"/>
              <a:round/>
            </a:ln>
            <a:effectLst/>
          </c:spPr>
          <c:marker>
            <c:spPr>
              <a:solidFill>
                <a:schemeClr val="dk1">
                  <a:tint val="88500"/>
                </a:schemeClr>
              </a:solidFill>
              <a:ln w="6350" cap="flat" cmpd="sng" algn="ctr">
                <a:solidFill>
                  <a:schemeClr val="dk1">
                    <a:tint val="88500"/>
                  </a:schemeClr>
                </a:solidFill>
                <a:prstDash val="solid"/>
                <a:round/>
              </a:ln>
              <a:effectLst/>
            </c:spPr>
          </c:marker>
          <c:val>
            <c:numRef>
              <c:f>Sheet1!$C$15:$C$165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18</c:v>
                </c:pt>
                <c:pt idx="63">
                  <c:v>40</c:v>
                </c:pt>
                <c:pt idx="64">
                  <c:v>54</c:v>
                </c:pt>
                <c:pt idx="65">
                  <c:v>66</c:v>
                </c:pt>
                <c:pt idx="66">
                  <c:v>74</c:v>
                </c:pt>
                <c:pt idx="67">
                  <c:v>82</c:v>
                </c:pt>
                <c:pt idx="68">
                  <c:v>90</c:v>
                </c:pt>
                <c:pt idx="69">
                  <c:v>98</c:v>
                </c:pt>
                <c:pt idx="70">
                  <c:v>102</c:v>
                </c:pt>
                <c:pt idx="71">
                  <c:v>110</c:v>
                </c:pt>
                <c:pt idx="72">
                  <c:v>114</c:v>
                </c:pt>
                <c:pt idx="73">
                  <c:v>122</c:v>
                </c:pt>
                <c:pt idx="74">
                  <c:v>126</c:v>
                </c:pt>
                <c:pt idx="75">
                  <c:v>116</c:v>
                </c:pt>
                <c:pt idx="76">
                  <c:v>98</c:v>
                </c:pt>
                <c:pt idx="77">
                  <c:v>90</c:v>
                </c:pt>
                <c:pt idx="78">
                  <c:v>84</c:v>
                </c:pt>
                <c:pt idx="79">
                  <c:v>80</c:v>
                </c:pt>
                <c:pt idx="80">
                  <c:v>76</c:v>
                </c:pt>
                <c:pt idx="81">
                  <c:v>74</c:v>
                </c:pt>
                <c:pt idx="82">
                  <c:v>70</c:v>
                </c:pt>
                <c:pt idx="83">
                  <c:v>72</c:v>
                </c:pt>
                <c:pt idx="84">
                  <c:v>68</c:v>
                </c:pt>
                <c:pt idx="85">
                  <c:v>68</c:v>
                </c:pt>
                <c:pt idx="86">
                  <c:v>66</c:v>
                </c:pt>
                <c:pt idx="87">
                  <c:v>66</c:v>
                </c:pt>
                <c:pt idx="88">
                  <c:v>62</c:v>
                </c:pt>
                <c:pt idx="89">
                  <c:v>62</c:v>
                </c:pt>
                <c:pt idx="90">
                  <c:v>62</c:v>
                </c:pt>
                <c:pt idx="91">
                  <c:v>62</c:v>
                </c:pt>
                <c:pt idx="92">
                  <c:v>62</c:v>
                </c:pt>
                <c:pt idx="93">
                  <c:v>62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62</c:v>
                </c:pt>
                <c:pt idx="102">
                  <c:v>62</c:v>
                </c:pt>
                <c:pt idx="103">
                  <c:v>60</c:v>
                </c:pt>
                <c:pt idx="104">
                  <c:v>62</c:v>
                </c:pt>
                <c:pt idx="105">
                  <c:v>62</c:v>
                </c:pt>
                <c:pt idx="106">
                  <c:v>64</c:v>
                </c:pt>
                <c:pt idx="107">
                  <c:v>66</c:v>
                </c:pt>
                <c:pt idx="108">
                  <c:v>70</c:v>
                </c:pt>
                <c:pt idx="109">
                  <c:v>70</c:v>
                </c:pt>
                <c:pt idx="110">
                  <c:v>74</c:v>
                </c:pt>
                <c:pt idx="111">
                  <c:v>80</c:v>
                </c:pt>
                <c:pt idx="112">
                  <c:v>88</c:v>
                </c:pt>
                <c:pt idx="113">
                  <c:v>108</c:v>
                </c:pt>
                <c:pt idx="114">
                  <c:v>102</c:v>
                </c:pt>
                <c:pt idx="115">
                  <c:v>98</c:v>
                </c:pt>
                <c:pt idx="116">
                  <c:v>94</c:v>
                </c:pt>
                <c:pt idx="117">
                  <c:v>86</c:v>
                </c:pt>
                <c:pt idx="118">
                  <c:v>82</c:v>
                </c:pt>
                <c:pt idx="119">
                  <c:v>76</c:v>
                </c:pt>
                <c:pt idx="120">
                  <c:v>70</c:v>
                </c:pt>
                <c:pt idx="121">
                  <c:v>62</c:v>
                </c:pt>
                <c:pt idx="122">
                  <c:v>56</c:v>
                </c:pt>
                <c:pt idx="123">
                  <c:v>48</c:v>
                </c:pt>
                <c:pt idx="124">
                  <c:v>38</c:v>
                </c:pt>
                <c:pt idx="125">
                  <c:v>24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28-48EC-9B5A-EE5A6482C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44240"/>
        <c:axId val="546541360"/>
      </c:lineChart>
      <c:catAx>
        <c:axId val="5465442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6541360"/>
        <c:crosses val="autoZero"/>
        <c:auto val="1"/>
        <c:lblAlgn val="ctr"/>
        <c:lblOffset val="100"/>
        <c:noMultiLvlLbl val="0"/>
      </c:catAx>
      <c:valAx>
        <c:axId val="546541360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6544240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381732</xdr:colOff>
      <xdr:row>12</xdr:row>
      <xdr:rowOff>53265</xdr:rowOff>
    </xdr:from>
    <xdr:to>
      <xdr:col>19</xdr:col>
      <xdr:colOff>125747</xdr:colOff>
      <xdr:row>15</xdr:row>
      <xdr:rowOff>1462</xdr:rowOff>
    </xdr:to>
    <xdr:sp macro="[0]!Dreset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CA97BD18-3928-4228-8F0D-5DEE7E187BB4}"/>
            </a:ext>
          </a:extLst>
        </xdr:cNvPr>
        <xdr:cNvSpPr/>
      </xdr:nvSpPr>
      <xdr:spPr>
        <a:xfrm>
          <a:off x="12020091" y="2930609"/>
          <a:ext cx="1113234" cy="66257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φD</a:t>
          </a:r>
          <a:r>
            <a:rPr kumimoji="1" lang="ja-JP" altLang="en-US" sz="1100"/>
            <a:t>リセット</a:t>
          </a:r>
        </a:p>
      </xdr:txBody>
    </xdr:sp>
    <xdr:clientData/>
  </xdr:twoCellAnchor>
  <xdr:twoCellAnchor>
    <xdr:from>
      <xdr:col>9</xdr:col>
      <xdr:colOff>0</xdr:colOff>
      <xdr:row>1</xdr:row>
      <xdr:rowOff>9923</xdr:rowOff>
    </xdr:from>
    <xdr:to>
      <xdr:col>16</xdr:col>
      <xdr:colOff>0</xdr:colOff>
      <xdr:row>13</xdr:row>
      <xdr:rowOff>9923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34800B92-D4FA-CF32-B5A1-BC02C02EA4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16</xdr:col>
      <xdr:colOff>0</xdr:colOff>
      <xdr:row>27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BA32B4DA-6AFE-FE29-1AA7-D202CF4434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29</xdr:row>
      <xdr:rowOff>0</xdr:rowOff>
    </xdr:from>
    <xdr:to>
      <xdr:col>16</xdr:col>
      <xdr:colOff>0</xdr:colOff>
      <xdr:row>41</xdr:row>
      <xdr:rowOff>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56F30982-BC16-8D50-6854-F1EC668B65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E8B0-F017-435A-A8CA-344B834AF3AD}">
  <sheetPr codeName="Sheet1"/>
  <dimension ref="A1:L188"/>
  <sheetViews>
    <sheetView tabSelected="1" zoomScale="98" zoomScaleNormal="98" workbookViewId="0">
      <selection activeCell="E9" sqref="E9"/>
    </sheetView>
  </sheetViews>
  <sheetFormatPr defaultRowHeight="18.75"/>
  <sheetData>
    <row r="1" spans="1:12" ht="19.5" thickBot="1">
      <c r="A1" s="9" t="s">
        <v>13</v>
      </c>
      <c r="B1" s="10" t="s">
        <v>14</v>
      </c>
      <c r="C1" s="12" t="s">
        <v>15</v>
      </c>
      <c r="D1" s="17" t="s">
        <v>16</v>
      </c>
      <c r="E1" s="27"/>
      <c r="F1" s="17"/>
      <c r="G1" s="11" t="s">
        <v>18</v>
      </c>
      <c r="H1" s="12" t="s">
        <v>17</v>
      </c>
      <c r="J1" t="s">
        <v>20</v>
      </c>
      <c r="L1" t="s">
        <v>21</v>
      </c>
    </row>
    <row r="2" spans="1:12" ht="19.5" thickTop="1">
      <c r="A2" s="6" t="s">
        <v>0</v>
      </c>
      <c r="B2" s="7">
        <f>E5/-2</f>
        <v>-96.5</v>
      </c>
      <c r="C2" s="13">
        <v>-50</v>
      </c>
      <c r="D2" s="21" t="s">
        <v>4</v>
      </c>
      <c r="E2" s="28">
        <v>15</v>
      </c>
      <c r="F2" s="24" t="s">
        <v>9</v>
      </c>
      <c r="G2" s="8">
        <v>719</v>
      </c>
      <c r="H2" s="13">
        <f>RADIANS(G2)</f>
        <v>12.54891732183923</v>
      </c>
    </row>
    <row r="3" spans="1:12">
      <c r="A3" s="4" t="s">
        <v>1</v>
      </c>
      <c r="B3" s="3">
        <f>E2*COS(H2)+B2</f>
        <v>-81.502284572654133</v>
      </c>
      <c r="C3" s="14">
        <f>E2*SIN(H2)-50</f>
        <v>-50.261786096559241</v>
      </c>
      <c r="D3" s="22" t="s">
        <v>5</v>
      </c>
      <c r="E3" s="29">
        <v>202</v>
      </c>
      <c r="F3" s="25" t="s">
        <v>10</v>
      </c>
      <c r="G3" s="2">
        <f>DEGREES(H3)</f>
        <v>8.6015855334502884</v>
      </c>
      <c r="H3" s="14">
        <f>H5-H4</f>
        <v>0.15012598845062039</v>
      </c>
    </row>
    <row r="4" spans="1:12">
      <c r="A4" s="4" t="s">
        <v>2</v>
      </c>
      <c r="B4" s="3">
        <f>B3+E3*COS(H3)</f>
        <v>118.22566843454408</v>
      </c>
      <c r="C4" s="14">
        <f>C3+E3*SIN(H3)</f>
        <v>-20.050119681837568</v>
      </c>
      <c r="D4" s="22" t="s">
        <v>6</v>
      </c>
      <c r="E4" s="29">
        <v>37</v>
      </c>
      <c r="F4" s="25" t="s">
        <v>11</v>
      </c>
      <c r="G4" s="2">
        <f>DEGREES(H4)</f>
        <v>-8.4264242394323591E-2</v>
      </c>
      <c r="H4" s="14">
        <f>ASIN(E2*SIN(H2)/E6)</f>
        <v>-1.4706884714795366E-3</v>
      </c>
    </row>
    <row r="5" spans="1:12" ht="19.5" thickBot="1">
      <c r="A5" s="4" t="s">
        <v>3</v>
      </c>
      <c r="B5" s="3">
        <f>E5/2</f>
        <v>96.5</v>
      </c>
      <c r="C5" s="14">
        <v>-50</v>
      </c>
      <c r="D5" s="22" t="s">
        <v>7</v>
      </c>
      <c r="E5" s="30">
        <v>193</v>
      </c>
      <c r="F5" s="26" t="s">
        <v>12</v>
      </c>
      <c r="G5" s="2">
        <f>DEGREES(H5)</f>
        <v>8.5173212910559641</v>
      </c>
      <c r="H5" s="14">
        <f>ACOS((E3^2+E6^2-E4^2)/(2*E3*E6))</f>
        <v>0.14865529997914084</v>
      </c>
    </row>
    <row r="6" spans="1:12" ht="20.25" thickTop="1" thickBot="1">
      <c r="A6" s="5" t="s">
        <v>0</v>
      </c>
      <c r="B6" s="15">
        <f>B2</f>
        <v>-96.5</v>
      </c>
      <c r="C6" s="16">
        <f>C2</f>
        <v>-50</v>
      </c>
      <c r="D6" s="18" t="s">
        <v>8</v>
      </c>
      <c r="E6" s="23">
        <f>SQRT(E2^2+E5^2-2*E2*E5*COS(H2))</f>
        <v>178.00247707558594</v>
      </c>
      <c r="F6" s="19" t="s">
        <v>19</v>
      </c>
      <c r="G6" s="20">
        <f>DEGREES(H6)</f>
        <v>125.95716291293505</v>
      </c>
      <c r="H6" s="16">
        <f>ACOS((B5-B4)/E4)</f>
        <v>2.1983672093016082</v>
      </c>
    </row>
    <row r="7" spans="1:12">
      <c r="A7" s="1" t="s">
        <v>19</v>
      </c>
      <c r="B7" t="s">
        <v>26</v>
      </c>
      <c r="C7" t="s">
        <v>27</v>
      </c>
      <c r="E7" s="31" t="s">
        <v>24</v>
      </c>
    </row>
    <row r="8" spans="1:12">
      <c r="A8">
        <v>0</v>
      </c>
      <c r="B8">
        <v>0</v>
      </c>
      <c r="C8">
        <f>SUM(B8:B14)</f>
        <v>0</v>
      </c>
    </row>
    <row r="9" spans="1:12">
      <c r="A9">
        <v>1</v>
      </c>
      <c r="B9">
        <v>0</v>
      </c>
      <c r="C9">
        <f>SUM($B$8:B15)</f>
        <v>0</v>
      </c>
    </row>
    <row r="10" spans="1:12">
      <c r="A10">
        <v>2</v>
      </c>
      <c r="B10">
        <v>0</v>
      </c>
      <c r="C10">
        <f>SUM($B$8:B16)</f>
        <v>0</v>
      </c>
    </row>
    <row r="11" spans="1:12">
      <c r="A11">
        <v>3</v>
      </c>
      <c r="B11">
        <v>0</v>
      </c>
      <c r="C11">
        <f>SUM($B$8:B17)</f>
        <v>0</v>
      </c>
    </row>
    <row r="12" spans="1:12">
      <c r="A12">
        <v>4</v>
      </c>
      <c r="B12">
        <v>0</v>
      </c>
      <c r="C12">
        <f>SUM($B$8:B18)</f>
        <v>0</v>
      </c>
    </row>
    <row r="13" spans="1:12">
      <c r="A13">
        <v>5</v>
      </c>
      <c r="B13">
        <v>0</v>
      </c>
      <c r="C13">
        <f>SUM($B$8:B19)</f>
        <v>0</v>
      </c>
    </row>
    <row r="14" spans="1:12">
      <c r="A14">
        <v>6</v>
      </c>
      <c r="B14">
        <v>0</v>
      </c>
      <c r="C14">
        <f>SUM($B$8:B20)</f>
        <v>0</v>
      </c>
    </row>
    <row r="15" spans="1:12">
      <c r="A15">
        <v>7</v>
      </c>
      <c r="B15">
        <v>0</v>
      </c>
      <c r="C15">
        <f>SUM(B9:B21)</f>
        <v>0</v>
      </c>
      <c r="J15" t="s">
        <v>22</v>
      </c>
      <c r="K15" t="s">
        <v>23</v>
      </c>
    </row>
    <row r="16" spans="1:12">
      <c r="A16">
        <v>8</v>
      </c>
      <c r="B16">
        <v>0</v>
      </c>
      <c r="C16">
        <f t="shared" ref="C16:C79" si="0">SUM(B10:B22)</f>
        <v>0</v>
      </c>
    </row>
    <row r="17" spans="1:10">
      <c r="A17">
        <v>9</v>
      </c>
      <c r="B17">
        <v>0</v>
      </c>
      <c r="C17">
        <f t="shared" si="0"/>
        <v>0</v>
      </c>
    </row>
    <row r="18" spans="1:10">
      <c r="A18">
        <v>10</v>
      </c>
      <c r="B18">
        <v>0</v>
      </c>
      <c r="C18">
        <f t="shared" si="0"/>
        <v>0</v>
      </c>
    </row>
    <row r="19" spans="1:10">
      <c r="A19">
        <v>11</v>
      </c>
      <c r="B19">
        <v>0</v>
      </c>
      <c r="C19">
        <f t="shared" si="0"/>
        <v>0</v>
      </c>
    </row>
    <row r="20" spans="1:10">
      <c r="A20">
        <v>12</v>
      </c>
      <c r="B20">
        <v>0</v>
      </c>
      <c r="C20">
        <f t="shared" si="0"/>
        <v>0</v>
      </c>
    </row>
    <row r="21" spans="1:10">
      <c r="A21">
        <v>13</v>
      </c>
      <c r="B21">
        <v>0</v>
      </c>
      <c r="C21">
        <f t="shared" si="0"/>
        <v>0</v>
      </c>
    </row>
    <row r="22" spans="1:10">
      <c r="A22">
        <v>14</v>
      </c>
      <c r="B22">
        <v>0</v>
      </c>
      <c r="C22">
        <f t="shared" si="0"/>
        <v>0</v>
      </c>
    </row>
    <row r="23" spans="1:10">
      <c r="A23">
        <v>15</v>
      </c>
      <c r="B23">
        <v>0</v>
      </c>
      <c r="C23">
        <f t="shared" si="0"/>
        <v>0</v>
      </c>
    </row>
    <row r="24" spans="1:10">
      <c r="A24">
        <v>16</v>
      </c>
      <c r="B24">
        <v>0</v>
      </c>
      <c r="C24">
        <f t="shared" si="0"/>
        <v>0</v>
      </c>
    </row>
    <row r="25" spans="1:10">
      <c r="A25">
        <v>17</v>
      </c>
      <c r="B25">
        <v>0</v>
      </c>
      <c r="C25">
        <f t="shared" si="0"/>
        <v>0</v>
      </c>
    </row>
    <row r="26" spans="1:10">
      <c r="A26">
        <v>18</v>
      </c>
      <c r="B26">
        <v>0</v>
      </c>
      <c r="C26">
        <f t="shared" si="0"/>
        <v>0</v>
      </c>
    </row>
    <row r="27" spans="1:10">
      <c r="A27">
        <v>19</v>
      </c>
      <c r="B27">
        <v>0</v>
      </c>
      <c r="C27">
        <f t="shared" si="0"/>
        <v>0</v>
      </c>
    </row>
    <row r="28" spans="1:10">
      <c r="A28">
        <v>20</v>
      </c>
      <c r="B28">
        <v>0</v>
      </c>
      <c r="C28">
        <f t="shared" si="0"/>
        <v>0</v>
      </c>
    </row>
    <row r="29" spans="1:10">
      <c r="A29">
        <v>21</v>
      </c>
      <c r="B29">
        <v>0</v>
      </c>
      <c r="C29">
        <f t="shared" si="0"/>
        <v>0</v>
      </c>
      <c r="J29" t="s">
        <v>25</v>
      </c>
    </row>
    <row r="30" spans="1:10">
      <c r="A30">
        <v>22</v>
      </c>
      <c r="B30">
        <v>0</v>
      </c>
      <c r="C30">
        <f t="shared" si="0"/>
        <v>0</v>
      </c>
    </row>
    <row r="31" spans="1:10">
      <c r="A31">
        <v>23</v>
      </c>
      <c r="B31">
        <v>0</v>
      </c>
      <c r="C31">
        <f t="shared" si="0"/>
        <v>0</v>
      </c>
    </row>
    <row r="32" spans="1:10">
      <c r="A32">
        <v>24</v>
      </c>
      <c r="B32">
        <v>0</v>
      </c>
      <c r="C32">
        <f t="shared" si="0"/>
        <v>0</v>
      </c>
    </row>
    <row r="33" spans="1:3">
      <c r="A33">
        <v>25</v>
      </c>
      <c r="B33">
        <v>0</v>
      </c>
      <c r="C33">
        <f t="shared" si="0"/>
        <v>0</v>
      </c>
    </row>
    <row r="34" spans="1:3">
      <c r="A34">
        <v>26</v>
      </c>
      <c r="B34">
        <v>0</v>
      </c>
      <c r="C34">
        <f t="shared" si="0"/>
        <v>0</v>
      </c>
    </row>
    <row r="35" spans="1:3">
      <c r="A35">
        <v>27</v>
      </c>
      <c r="B35">
        <v>0</v>
      </c>
      <c r="C35">
        <f t="shared" si="0"/>
        <v>0</v>
      </c>
    </row>
    <row r="36" spans="1:3">
      <c r="A36">
        <v>28</v>
      </c>
      <c r="B36">
        <v>0</v>
      </c>
      <c r="C36">
        <f t="shared" si="0"/>
        <v>0</v>
      </c>
    </row>
    <row r="37" spans="1:3">
      <c r="A37">
        <v>29</v>
      </c>
      <c r="B37">
        <v>0</v>
      </c>
      <c r="C37">
        <f t="shared" si="0"/>
        <v>0</v>
      </c>
    </row>
    <row r="38" spans="1:3">
      <c r="A38">
        <v>30</v>
      </c>
      <c r="B38">
        <v>0</v>
      </c>
      <c r="C38">
        <f t="shared" si="0"/>
        <v>0</v>
      </c>
    </row>
    <row r="39" spans="1:3">
      <c r="A39">
        <v>31</v>
      </c>
      <c r="B39">
        <v>0</v>
      </c>
      <c r="C39">
        <f t="shared" si="0"/>
        <v>0</v>
      </c>
    </row>
    <row r="40" spans="1:3">
      <c r="A40">
        <v>32</v>
      </c>
      <c r="B40">
        <v>0</v>
      </c>
      <c r="C40">
        <f t="shared" si="0"/>
        <v>0</v>
      </c>
    </row>
    <row r="41" spans="1:3">
      <c r="A41">
        <v>33</v>
      </c>
      <c r="B41">
        <v>0</v>
      </c>
      <c r="C41">
        <f t="shared" si="0"/>
        <v>0</v>
      </c>
    </row>
    <row r="42" spans="1:3">
      <c r="A42">
        <v>34</v>
      </c>
      <c r="B42">
        <v>0</v>
      </c>
      <c r="C42">
        <f t="shared" si="0"/>
        <v>0</v>
      </c>
    </row>
    <row r="43" spans="1:3">
      <c r="A43">
        <v>35</v>
      </c>
      <c r="B43">
        <v>0</v>
      </c>
      <c r="C43">
        <f t="shared" si="0"/>
        <v>0</v>
      </c>
    </row>
    <row r="44" spans="1:3">
      <c r="A44">
        <v>36</v>
      </c>
      <c r="B44">
        <v>0</v>
      </c>
      <c r="C44">
        <f t="shared" si="0"/>
        <v>0</v>
      </c>
    </row>
    <row r="45" spans="1:3">
      <c r="A45">
        <v>37</v>
      </c>
      <c r="B45">
        <v>0</v>
      </c>
      <c r="C45">
        <f t="shared" si="0"/>
        <v>0</v>
      </c>
    </row>
    <row r="46" spans="1:3">
      <c r="A46">
        <v>38</v>
      </c>
      <c r="B46">
        <v>0</v>
      </c>
      <c r="C46">
        <f t="shared" si="0"/>
        <v>0</v>
      </c>
    </row>
    <row r="47" spans="1:3">
      <c r="A47">
        <v>39</v>
      </c>
      <c r="B47">
        <v>0</v>
      </c>
      <c r="C47">
        <f t="shared" si="0"/>
        <v>0</v>
      </c>
    </row>
    <row r="48" spans="1:3">
      <c r="A48">
        <v>40</v>
      </c>
      <c r="B48">
        <v>0</v>
      </c>
      <c r="C48">
        <f t="shared" si="0"/>
        <v>0</v>
      </c>
    </row>
    <row r="49" spans="1:3">
      <c r="A49">
        <v>41</v>
      </c>
      <c r="B49">
        <v>0</v>
      </c>
      <c r="C49">
        <f t="shared" si="0"/>
        <v>0</v>
      </c>
    </row>
    <row r="50" spans="1:3">
      <c r="A50">
        <v>42</v>
      </c>
      <c r="B50">
        <v>0</v>
      </c>
      <c r="C50">
        <f t="shared" si="0"/>
        <v>0</v>
      </c>
    </row>
    <row r="51" spans="1:3">
      <c r="A51">
        <v>43</v>
      </c>
      <c r="B51">
        <v>0</v>
      </c>
      <c r="C51">
        <f t="shared" si="0"/>
        <v>0</v>
      </c>
    </row>
    <row r="52" spans="1:3">
      <c r="A52">
        <v>44</v>
      </c>
      <c r="B52">
        <v>0</v>
      </c>
      <c r="C52">
        <f t="shared" si="0"/>
        <v>0</v>
      </c>
    </row>
    <row r="53" spans="1:3">
      <c r="A53">
        <v>45</v>
      </c>
      <c r="B53">
        <v>0</v>
      </c>
      <c r="C53">
        <f t="shared" si="0"/>
        <v>0</v>
      </c>
    </row>
    <row r="54" spans="1:3">
      <c r="A54">
        <v>46</v>
      </c>
      <c r="B54">
        <v>0</v>
      </c>
      <c r="C54">
        <f t="shared" si="0"/>
        <v>0</v>
      </c>
    </row>
    <row r="55" spans="1:3">
      <c r="A55">
        <v>47</v>
      </c>
      <c r="B55">
        <v>0</v>
      </c>
      <c r="C55">
        <f t="shared" si="0"/>
        <v>0</v>
      </c>
    </row>
    <row r="56" spans="1:3">
      <c r="A56">
        <v>48</v>
      </c>
      <c r="B56">
        <v>0</v>
      </c>
      <c r="C56">
        <f t="shared" si="0"/>
        <v>0</v>
      </c>
    </row>
    <row r="57" spans="1:3">
      <c r="A57">
        <v>49</v>
      </c>
      <c r="B57">
        <v>0</v>
      </c>
      <c r="C57">
        <f t="shared" si="0"/>
        <v>0</v>
      </c>
    </row>
    <row r="58" spans="1:3">
      <c r="A58">
        <v>50</v>
      </c>
      <c r="B58">
        <v>0</v>
      </c>
      <c r="C58">
        <f t="shared" si="0"/>
        <v>0</v>
      </c>
    </row>
    <row r="59" spans="1:3">
      <c r="A59">
        <v>51</v>
      </c>
      <c r="B59">
        <v>0</v>
      </c>
      <c r="C59">
        <f t="shared" si="0"/>
        <v>0</v>
      </c>
    </row>
    <row r="60" spans="1:3">
      <c r="A60">
        <v>52</v>
      </c>
      <c r="B60">
        <v>0</v>
      </c>
      <c r="C60">
        <f t="shared" si="0"/>
        <v>0</v>
      </c>
    </row>
    <row r="61" spans="1:3">
      <c r="A61">
        <v>53</v>
      </c>
      <c r="B61">
        <v>0</v>
      </c>
      <c r="C61">
        <f t="shared" si="0"/>
        <v>0</v>
      </c>
    </row>
    <row r="62" spans="1:3">
      <c r="A62">
        <v>54</v>
      </c>
      <c r="B62">
        <v>0</v>
      </c>
      <c r="C62">
        <f t="shared" si="0"/>
        <v>0</v>
      </c>
    </row>
    <row r="63" spans="1:3">
      <c r="A63">
        <v>55</v>
      </c>
      <c r="B63">
        <v>0</v>
      </c>
      <c r="C63">
        <f t="shared" si="0"/>
        <v>0</v>
      </c>
    </row>
    <row r="64" spans="1:3">
      <c r="A64">
        <v>56</v>
      </c>
      <c r="B64">
        <v>0</v>
      </c>
      <c r="C64">
        <f t="shared" si="0"/>
        <v>0</v>
      </c>
    </row>
    <row r="65" spans="1:3">
      <c r="A65">
        <v>57</v>
      </c>
      <c r="B65">
        <v>0</v>
      </c>
      <c r="C65">
        <f t="shared" si="0"/>
        <v>0</v>
      </c>
    </row>
    <row r="66" spans="1:3">
      <c r="A66">
        <v>58</v>
      </c>
      <c r="B66">
        <v>0</v>
      </c>
      <c r="C66">
        <f t="shared" si="0"/>
        <v>0</v>
      </c>
    </row>
    <row r="67" spans="1:3">
      <c r="A67">
        <v>59</v>
      </c>
      <c r="B67">
        <v>0</v>
      </c>
      <c r="C67">
        <f t="shared" si="0"/>
        <v>0</v>
      </c>
    </row>
    <row r="68" spans="1:3">
      <c r="A68">
        <v>60</v>
      </c>
      <c r="B68">
        <v>0</v>
      </c>
      <c r="C68">
        <f t="shared" si="0"/>
        <v>0</v>
      </c>
    </row>
    <row r="69" spans="1:3">
      <c r="A69">
        <v>61</v>
      </c>
      <c r="B69">
        <v>0</v>
      </c>
      <c r="C69">
        <f t="shared" si="0"/>
        <v>0</v>
      </c>
    </row>
    <row r="70" spans="1:3">
      <c r="A70">
        <v>62</v>
      </c>
      <c r="B70">
        <v>0</v>
      </c>
      <c r="C70">
        <f t="shared" si="0"/>
        <v>0</v>
      </c>
    </row>
    <row r="71" spans="1:3">
      <c r="A71">
        <v>63</v>
      </c>
      <c r="B71">
        <v>0</v>
      </c>
      <c r="C71">
        <f t="shared" si="0"/>
        <v>0</v>
      </c>
    </row>
    <row r="72" spans="1:3">
      <c r="A72">
        <v>64</v>
      </c>
      <c r="B72">
        <v>0</v>
      </c>
      <c r="C72">
        <f t="shared" si="0"/>
        <v>0</v>
      </c>
    </row>
    <row r="73" spans="1:3">
      <c r="A73">
        <v>65</v>
      </c>
      <c r="B73">
        <v>0</v>
      </c>
      <c r="C73">
        <f t="shared" si="0"/>
        <v>0</v>
      </c>
    </row>
    <row r="74" spans="1:3">
      <c r="A74">
        <v>66</v>
      </c>
      <c r="B74">
        <v>0</v>
      </c>
      <c r="C74">
        <f t="shared" si="0"/>
        <v>0</v>
      </c>
    </row>
    <row r="75" spans="1:3">
      <c r="A75">
        <v>67</v>
      </c>
      <c r="B75">
        <v>0</v>
      </c>
      <c r="C75">
        <f t="shared" si="0"/>
        <v>0</v>
      </c>
    </row>
    <row r="76" spans="1:3">
      <c r="A76">
        <v>68</v>
      </c>
      <c r="B76">
        <v>0</v>
      </c>
      <c r="C76">
        <f t="shared" si="0"/>
        <v>0</v>
      </c>
    </row>
    <row r="77" spans="1:3">
      <c r="A77">
        <v>69</v>
      </c>
      <c r="B77">
        <v>0</v>
      </c>
      <c r="C77">
        <f t="shared" si="0"/>
        <v>18</v>
      </c>
    </row>
    <row r="78" spans="1:3">
      <c r="A78">
        <v>70</v>
      </c>
      <c r="B78">
        <v>0</v>
      </c>
      <c r="C78">
        <f t="shared" si="0"/>
        <v>40</v>
      </c>
    </row>
    <row r="79" spans="1:3">
      <c r="A79">
        <v>71</v>
      </c>
      <c r="B79">
        <v>0</v>
      </c>
      <c r="C79">
        <f t="shared" si="0"/>
        <v>54</v>
      </c>
    </row>
    <row r="80" spans="1:3">
      <c r="A80">
        <v>72</v>
      </c>
      <c r="B80">
        <v>0</v>
      </c>
      <c r="C80">
        <f t="shared" ref="C80:C143" si="1">SUM(B74:B86)</f>
        <v>66</v>
      </c>
    </row>
    <row r="81" spans="1:3">
      <c r="A81">
        <v>73</v>
      </c>
      <c r="B81">
        <v>0</v>
      </c>
      <c r="C81">
        <f t="shared" si="1"/>
        <v>74</v>
      </c>
    </row>
    <row r="82" spans="1:3">
      <c r="A82">
        <v>74</v>
      </c>
      <c r="B82">
        <v>0</v>
      </c>
      <c r="C82">
        <f t="shared" si="1"/>
        <v>82</v>
      </c>
    </row>
    <row r="83" spans="1:3">
      <c r="A83">
        <v>75</v>
      </c>
      <c r="B83">
        <v>18</v>
      </c>
      <c r="C83">
        <f t="shared" si="1"/>
        <v>90</v>
      </c>
    </row>
    <row r="84" spans="1:3">
      <c r="A84">
        <v>76</v>
      </c>
      <c r="B84">
        <v>22</v>
      </c>
      <c r="C84">
        <f t="shared" si="1"/>
        <v>98</v>
      </c>
    </row>
    <row r="85" spans="1:3">
      <c r="A85">
        <v>77</v>
      </c>
      <c r="B85">
        <v>14</v>
      </c>
      <c r="C85">
        <f t="shared" si="1"/>
        <v>102</v>
      </c>
    </row>
    <row r="86" spans="1:3">
      <c r="A86">
        <v>78</v>
      </c>
      <c r="B86">
        <v>12</v>
      </c>
      <c r="C86">
        <f t="shared" si="1"/>
        <v>110</v>
      </c>
    </row>
    <row r="87" spans="1:3">
      <c r="A87">
        <v>79</v>
      </c>
      <c r="B87">
        <v>8</v>
      </c>
      <c r="C87">
        <f t="shared" si="1"/>
        <v>114</v>
      </c>
    </row>
    <row r="88" spans="1:3">
      <c r="A88">
        <v>80</v>
      </c>
      <c r="B88">
        <v>8</v>
      </c>
      <c r="C88">
        <f t="shared" si="1"/>
        <v>122</v>
      </c>
    </row>
    <row r="89" spans="1:3">
      <c r="A89">
        <v>81</v>
      </c>
      <c r="B89">
        <v>8</v>
      </c>
      <c r="C89">
        <f t="shared" si="1"/>
        <v>126</v>
      </c>
    </row>
    <row r="90" spans="1:3">
      <c r="A90">
        <v>82</v>
      </c>
      <c r="B90">
        <v>8</v>
      </c>
      <c r="C90">
        <f t="shared" si="1"/>
        <v>116</v>
      </c>
    </row>
    <row r="91" spans="1:3">
      <c r="A91">
        <v>83</v>
      </c>
      <c r="B91">
        <v>4</v>
      </c>
      <c r="C91">
        <f t="shared" si="1"/>
        <v>98</v>
      </c>
    </row>
    <row r="92" spans="1:3">
      <c r="A92">
        <v>84</v>
      </c>
      <c r="B92">
        <v>8</v>
      </c>
      <c r="C92">
        <f t="shared" si="1"/>
        <v>90</v>
      </c>
    </row>
    <row r="93" spans="1:3">
      <c r="A93">
        <v>85</v>
      </c>
      <c r="B93">
        <v>4</v>
      </c>
      <c r="C93">
        <f t="shared" si="1"/>
        <v>84</v>
      </c>
    </row>
    <row r="94" spans="1:3">
      <c r="A94">
        <v>86</v>
      </c>
      <c r="B94">
        <v>8</v>
      </c>
      <c r="C94">
        <f t="shared" si="1"/>
        <v>80</v>
      </c>
    </row>
    <row r="95" spans="1:3">
      <c r="A95">
        <v>87</v>
      </c>
      <c r="B95">
        <v>4</v>
      </c>
      <c r="C95">
        <f t="shared" si="1"/>
        <v>76</v>
      </c>
    </row>
    <row r="96" spans="1:3">
      <c r="A96">
        <v>88</v>
      </c>
      <c r="B96">
        <v>8</v>
      </c>
      <c r="C96">
        <f t="shared" si="1"/>
        <v>74</v>
      </c>
    </row>
    <row r="97" spans="1:3">
      <c r="A97">
        <v>89</v>
      </c>
      <c r="B97">
        <v>4</v>
      </c>
      <c r="C97">
        <f t="shared" si="1"/>
        <v>70</v>
      </c>
    </row>
    <row r="98" spans="1:3">
      <c r="A98">
        <v>90</v>
      </c>
      <c r="B98">
        <v>6</v>
      </c>
      <c r="C98">
        <f t="shared" si="1"/>
        <v>72</v>
      </c>
    </row>
    <row r="99" spans="1:3">
      <c r="A99">
        <v>91</v>
      </c>
      <c r="B99">
        <v>6</v>
      </c>
      <c r="C99">
        <f t="shared" si="1"/>
        <v>68</v>
      </c>
    </row>
    <row r="100" spans="1:3">
      <c r="A100">
        <v>92</v>
      </c>
      <c r="B100">
        <v>4</v>
      </c>
      <c r="C100">
        <f t="shared" si="1"/>
        <v>68</v>
      </c>
    </row>
    <row r="101" spans="1:3">
      <c r="A101">
        <v>93</v>
      </c>
      <c r="B101">
        <v>4</v>
      </c>
      <c r="C101">
        <f t="shared" si="1"/>
        <v>66</v>
      </c>
    </row>
    <row r="102" spans="1:3">
      <c r="A102">
        <v>94</v>
      </c>
      <c r="B102">
        <v>6</v>
      </c>
      <c r="C102">
        <f t="shared" si="1"/>
        <v>66</v>
      </c>
    </row>
    <row r="103" spans="1:3">
      <c r="A103">
        <v>95</v>
      </c>
      <c r="B103">
        <v>4</v>
      </c>
      <c r="C103">
        <f t="shared" si="1"/>
        <v>62</v>
      </c>
    </row>
    <row r="104" spans="1:3">
      <c r="A104">
        <v>96</v>
      </c>
      <c r="B104">
        <v>6</v>
      </c>
      <c r="C104">
        <f t="shared" si="1"/>
        <v>62</v>
      </c>
    </row>
    <row r="105" spans="1:3">
      <c r="A105">
        <v>97</v>
      </c>
      <c r="B105">
        <v>4</v>
      </c>
      <c r="C105">
        <f t="shared" si="1"/>
        <v>62</v>
      </c>
    </row>
    <row r="106" spans="1:3">
      <c r="A106">
        <v>98</v>
      </c>
      <c r="B106">
        <v>4</v>
      </c>
      <c r="C106">
        <f t="shared" si="1"/>
        <v>62</v>
      </c>
    </row>
    <row r="107" spans="1:3">
      <c r="A107">
        <v>99</v>
      </c>
      <c r="B107">
        <v>6</v>
      </c>
      <c r="C107">
        <f t="shared" si="1"/>
        <v>62</v>
      </c>
    </row>
    <row r="108" spans="1:3">
      <c r="A108">
        <v>100</v>
      </c>
      <c r="B108">
        <v>4</v>
      </c>
      <c r="C108">
        <f t="shared" si="1"/>
        <v>62</v>
      </c>
    </row>
    <row r="109" spans="1:3">
      <c r="A109">
        <v>101</v>
      </c>
      <c r="B109">
        <v>4</v>
      </c>
      <c r="C109">
        <f t="shared" si="1"/>
        <v>60</v>
      </c>
    </row>
    <row r="110" spans="1:3">
      <c r="A110">
        <v>102</v>
      </c>
      <c r="B110">
        <v>4</v>
      </c>
      <c r="C110">
        <f t="shared" si="1"/>
        <v>60</v>
      </c>
    </row>
    <row r="111" spans="1:3">
      <c r="A111">
        <v>103</v>
      </c>
      <c r="B111">
        <v>6</v>
      </c>
      <c r="C111">
        <f t="shared" si="1"/>
        <v>60</v>
      </c>
    </row>
    <row r="112" spans="1:3">
      <c r="A112">
        <v>104</v>
      </c>
      <c r="B112">
        <v>6</v>
      </c>
      <c r="C112">
        <f t="shared" si="1"/>
        <v>60</v>
      </c>
    </row>
    <row r="113" spans="1:3">
      <c r="A113">
        <v>105</v>
      </c>
      <c r="B113">
        <v>4</v>
      </c>
      <c r="C113">
        <f t="shared" si="1"/>
        <v>60</v>
      </c>
    </row>
    <row r="114" spans="1:3">
      <c r="A114">
        <v>106</v>
      </c>
      <c r="B114">
        <v>4</v>
      </c>
      <c r="C114">
        <f t="shared" si="1"/>
        <v>60</v>
      </c>
    </row>
    <row r="115" spans="1:3">
      <c r="A115">
        <v>107</v>
      </c>
      <c r="B115">
        <v>4</v>
      </c>
      <c r="C115">
        <f t="shared" si="1"/>
        <v>60</v>
      </c>
    </row>
    <row r="116" spans="1:3">
      <c r="A116">
        <v>108</v>
      </c>
      <c r="B116">
        <v>4</v>
      </c>
      <c r="C116">
        <f t="shared" si="1"/>
        <v>62</v>
      </c>
    </row>
    <row r="117" spans="1:3">
      <c r="A117">
        <v>109</v>
      </c>
      <c r="B117">
        <v>6</v>
      </c>
      <c r="C117">
        <f t="shared" si="1"/>
        <v>62</v>
      </c>
    </row>
    <row r="118" spans="1:3">
      <c r="A118">
        <v>110</v>
      </c>
      <c r="B118">
        <v>4</v>
      </c>
      <c r="C118">
        <f t="shared" si="1"/>
        <v>60</v>
      </c>
    </row>
    <row r="119" spans="1:3">
      <c r="A119">
        <v>111</v>
      </c>
      <c r="B119">
        <v>4</v>
      </c>
      <c r="C119">
        <f t="shared" si="1"/>
        <v>62</v>
      </c>
    </row>
    <row r="120" spans="1:3">
      <c r="A120">
        <v>112</v>
      </c>
      <c r="B120">
        <v>6</v>
      </c>
      <c r="C120">
        <f t="shared" si="1"/>
        <v>62</v>
      </c>
    </row>
    <row r="121" spans="1:3">
      <c r="A121">
        <v>113</v>
      </c>
      <c r="B121">
        <v>4</v>
      </c>
      <c r="C121">
        <f t="shared" si="1"/>
        <v>64</v>
      </c>
    </row>
    <row r="122" spans="1:3">
      <c r="A122">
        <v>114</v>
      </c>
      <c r="B122">
        <v>6</v>
      </c>
      <c r="C122">
        <f t="shared" si="1"/>
        <v>66</v>
      </c>
    </row>
    <row r="123" spans="1:3">
      <c r="A123">
        <v>115</v>
      </c>
      <c r="B123">
        <v>4</v>
      </c>
      <c r="C123">
        <f t="shared" si="1"/>
        <v>70</v>
      </c>
    </row>
    <row r="124" spans="1:3">
      <c r="A124">
        <v>116</v>
      </c>
      <c r="B124">
        <v>4</v>
      </c>
      <c r="C124">
        <f t="shared" si="1"/>
        <v>70</v>
      </c>
    </row>
    <row r="125" spans="1:3">
      <c r="A125">
        <v>117</v>
      </c>
      <c r="B125">
        <v>8</v>
      </c>
      <c r="C125">
        <f t="shared" si="1"/>
        <v>74</v>
      </c>
    </row>
    <row r="126" spans="1:3">
      <c r="A126">
        <v>118</v>
      </c>
      <c r="B126">
        <v>4</v>
      </c>
      <c r="C126">
        <f t="shared" si="1"/>
        <v>80</v>
      </c>
    </row>
    <row r="127" spans="1:3">
      <c r="A127">
        <v>119</v>
      </c>
      <c r="B127">
        <v>6</v>
      </c>
      <c r="C127">
        <f t="shared" si="1"/>
        <v>88</v>
      </c>
    </row>
    <row r="128" spans="1:3">
      <c r="A128">
        <v>120</v>
      </c>
      <c r="B128">
        <v>6</v>
      </c>
      <c r="C128">
        <f t="shared" si="1"/>
        <v>108</v>
      </c>
    </row>
    <row r="129" spans="1:3">
      <c r="A129">
        <v>121</v>
      </c>
      <c r="B129">
        <v>8</v>
      </c>
      <c r="C129">
        <f t="shared" si="1"/>
        <v>102</v>
      </c>
    </row>
    <row r="130" spans="1:3">
      <c r="A130">
        <v>122</v>
      </c>
      <c r="B130">
        <v>6</v>
      </c>
      <c r="C130">
        <f t="shared" si="1"/>
        <v>98</v>
      </c>
    </row>
    <row r="131" spans="1:3">
      <c r="A131">
        <v>123</v>
      </c>
      <c r="B131">
        <v>8</v>
      </c>
      <c r="C131">
        <f t="shared" si="1"/>
        <v>94</v>
      </c>
    </row>
    <row r="132" spans="1:3">
      <c r="A132">
        <v>124</v>
      </c>
      <c r="B132">
        <v>10</v>
      </c>
      <c r="C132">
        <f t="shared" si="1"/>
        <v>86</v>
      </c>
    </row>
    <row r="133" spans="1:3">
      <c r="A133">
        <v>125</v>
      </c>
      <c r="B133">
        <v>14</v>
      </c>
      <c r="C133">
        <f t="shared" si="1"/>
        <v>82</v>
      </c>
    </row>
    <row r="134" spans="1:3">
      <c r="A134">
        <v>126</v>
      </c>
      <c r="B134">
        <v>24</v>
      </c>
      <c r="C134">
        <f t="shared" si="1"/>
        <v>76</v>
      </c>
    </row>
    <row r="135" spans="1:3">
      <c r="A135">
        <v>127</v>
      </c>
      <c r="B135">
        <v>0</v>
      </c>
      <c r="C135">
        <f t="shared" si="1"/>
        <v>70</v>
      </c>
    </row>
    <row r="136" spans="1:3">
      <c r="A136">
        <v>128</v>
      </c>
      <c r="B136">
        <v>0</v>
      </c>
      <c r="C136">
        <f t="shared" si="1"/>
        <v>62</v>
      </c>
    </row>
    <row r="137" spans="1:3">
      <c r="A137">
        <v>129</v>
      </c>
      <c r="B137">
        <v>0</v>
      </c>
      <c r="C137">
        <f t="shared" si="1"/>
        <v>56</v>
      </c>
    </row>
    <row r="138" spans="1:3">
      <c r="A138">
        <v>130</v>
      </c>
      <c r="B138">
        <v>0</v>
      </c>
      <c r="C138">
        <f t="shared" si="1"/>
        <v>48</v>
      </c>
    </row>
    <row r="139" spans="1:3">
      <c r="A139">
        <v>131</v>
      </c>
      <c r="B139">
        <v>0</v>
      </c>
      <c r="C139">
        <f t="shared" si="1"/>
        <v>38</v>
      </c>
    </row>
    <row r="140" spans="1:3">
      <c r="A140">
        <v>132</v>
      </c>
      <c r="B140">
        <v>0</v>
      </c>
      <c r="C140">
        <f t="shared" si="1"/>
        <v>24</v>
      </c>
    </row>
    <row r="141" spans="1:3">
      <c r="A141">
        <v>133</v>
      </c>
      <c r="B141">
        <v>0</v>
      </c>
      <c r="C141">
        <f t="shared" si="1"/>
        <v>0</v>
      </c>
    </row>
    <row r="142" spans="1:3">
      <c r="A142">
        <v>134</v>
      </c>
      <c r="B142">
        <v>0</v>
      </c>
      <c r="C142">
        <f t="shared" si="1"/>
        <v>0</v>
      </c>
    </row>
    <row r="143" spans="1:3">
      <c r="A143">
        <v>135</v>
      </c>
      <c r="B143">
        <v>0</v>
      </c>
      <c r="C143">
        <f t="shared" si="1"/>
        <v>0</v>
      </c>
    </row>
    <row r="144" spans="1:3">
      <c r="A144">
        <v>136</v>
      </c>
      <c r="B144">
        <v>0</v>
      </c>
      <c r="C144">
        <f t="shared" ref="C144:C181" si="2">SUM(B138:B150)</f>
        <v>0</v>
      </c>
    </row>
    <row r="145" spans="1:3">
      <c r="A145">
        <v>137</v>
      </c>
      <c r="B145">
        <v>0</v>
      </c>
      <c r="C145">
        <f t="shared" si="2"/>
        <v>0</v>
      </c>
    </row>
    <row r="146" spans="1:3">
      <c r="A146">
        <v>138</v>
      </c>
      <c r="B146">
        <v>0</v>
      </c>
      <c r="C146">
        <f t="shared" si="2"/>
        <v>0</v>
      </c>
    </row>
    <row r="147" spans="1:3">
      <c r="A147">
        <v>139</v>
      </c>
      <c r="B147">
        <v>0</v>
      </c>
      <c r="C147">
        <f t="shared" si="2"/>
        <v>0</v>
      </c>
    </row>
    <row r="148" spans="1:3">
      <c r="A148">
        <v>140</v>
      </c>
      <c r="B148">
        <v>0</v>
      </c>
      <c r="C148">
        <f t="shared" si="2"/>
        <v>0</v>
      </c>
    </row>
    <row r="149" spans="1:3">
      <c r="A149">
        <v>141</v>
      </c>
      <c r="B149">
        <v>0</v>
      </c>
      <c r="C149">
        <f t="shared" si="2"/>
        <v>0</v>
      </c>
    </row>
    <row r="150" spans="1:3">
      <c r="A150">
        <v>142</v>
      </c>
      <c r="B150">
        <v>0</v>
      </c>
      <c r="C150">
        <f t="shared" si="2"/>
        <v>0</v>
      </c>
    </row>
    <row r="151" spans="1:3">
      <c r="A151">
        <v>143</v>
      </c>
      <c r="B151">
        <v>0</v>
      </c>
      <c r="C151">
        <f t="shared" si="2"/>
        <v>0</v>
      </c>
    </row>
    <row r="152" spans="1:3">
      <c r="A152">
        <v>144</v>
      </c>
      <c r="B152">
        <v>0</v>
      </c>
      <c r="C152">
        <f t="shared" si="2"/>
        <v>0</v>
      </c>
    </row>
    <row r="153" spans="1:3">
      <c r="A153">
        <v>145</v>
      </c>
      <c r="B153">
        <v>0</v>
      </c>
      <c r="C153">
        <f t="shared" si="2"/>
        <v>0</v>
      </c>
    </row>
    <row r="154" spans="1:3">
      <c r="A154">
        <v>146</v>
      </c>
      <c r="B154">
        <v>0</v>
      </c>
      <c r="C154">
        <f t="shared" si="2"/>
        <v>0</v>
      </c>
    </row>
    <row r="155" spans="1:3">
      <c r="A155">
        <v>147</v>
      </c>
      <c r="B155">
        <v>0</v>
      </c>
      <c r="C155">
        <f t="shared" si="2"/>
        <v>0</v>
      </c>
    </row>
    <row r="156" spans="1:3">
      <c r="A156">
        <v>148</v>
      </c>
      <c r="B156">
        <v>0</v>
      </c>
      <c r="C156">
        <f t="shared" si="2"/>
        <v>0</v>
      </c>
    </row>
    <row r="157" spans="1:3">
      <c r="A157">
        <v>149</v>
      </c>
      <c r="B157">
        <v>0</v>
      </c>
      <c r="C157">
        <f t="shared" si="2"/>
        <v>0</v>
      </c>
    </row>
    <row r="158" spans="1:3">
      <c r="A158">
        <v>150</v>
      </c>
      <c r="B158">
        <v>0</v>
      </c>
      <c r="C158">
        <f t="shared" si="2"/>
        <v>0</v>
      </c>
    </row>
    <row r="159" spans="1:3">
      <c r="A159">
        <v>151</v>
      </c>
      <c r="B159">
        <v>0</v>
      </c>
      <c r="C159">
        <f t="shared" si="2"/>
        <v>0</v>
      </c>
    </row>
    <row r="160" spans="1:3">
      <c r="A160">
        <v>152</v>
      </c>
      <c r="B160">
        <v>0</v>
      </c>
      <c r="C160">
        <f t="shared" si="2"/>
        <v>0</v>
      </c>
    </row>
    <row r="161" spans="1:3">
      <c r="A161">
        <v>153</v>
      </c>
      <c r="B161">
        <v>0</v>
      </c>
      <c r="C161">
        <f t="shared" si="2"/>
        <v>0</v>
      </c>
    </row>
    <row r="162" spans="1:3">
      <c r="A162">
        <v>154</v>
      </c>
      <c r="B162">
        <v>0</v>
      </c>
      <c r="C162">
        <f t="shared" si="2"/>
        <v>0</v>
      </c>
    </row>
    <row r="163" spans="1:3">
      <c r="A163">
        <v>155</v>
      </c>
      <c r="B163">
        <v>0</v>
      </c>
      <c r="C163">
        <f t="shared" si="2"/>
        <v>0</v>
      </c>
    </row>
    <row r="164" spans="1:3">
      <c r="A164">
        <v>156</v>
      </c>
      <c r="B164">
        <v>0</v>
      </c>
      <c r="C164">
        <f t="shared" si="2"/>
        <v>0</v>
      </c>
    </row>
    <row r="165" spans="1:3">
      <c r="A165">
        <v>157</v>
      </c>
      <c r="B165">
        <v>0</v>
      </c>
      <c r="C165">
        <f t="shared" si="2"/>
        <v>0</v>
      </c>
    </row>
    <row r="166" spans="1:3">
      <c r="A166">
        <v>158</v>
      </c>
      <c r="B166">
        <v>0</v>
      </c>
      <c r="C166">
        <f t="shared" si="2"/>
        <v>0</v>
      </c>
    </row>
    <row r="167" spans="1:3">
      <c r="A167">
        <v>159</v>
      </c>
      <c r="B167">
        <v>0</v>
      </c>
      <c r="C167">
        <f t="shared" si="2"/>
        <v>0</v>
      </c>
    </row>
    <row r="168" spans="1:3">
      <c r="A168">
        <v>160</v>
      </c>
      <c r="B168">
        <v>0</v>
      </c>
      <c r="C168">
        <f t="shared" si="2"/>
        <v>0</v>
      </c>
    </row>
    <row r="169" spans="1:3">
      <c r="A169">
        <v>161</v>
      </c>
      <c r="B169">
        <v>0</v>
      </c>
      <c r="C169">
        <f t="shared" si="2"/>
        <v>0</v>
      </c>
    </row>
    <row r="170" spans="1:3">
      <c r="A170">
        <v>162</v>
      </c>
      <c r="B170">
        <v>0</v>
      </c>
      <c r="C170">
        <f t="shared" si="2"/>
        <v>0</v>
      </c>
    </row>
    <row r="171" spans="1:3">
      <c r="A171">
        <v>163</v>
      </c>
      <c r="B171">
        <v>0</v>
      </c>
      <c r="C171">
        <f t="shared" si="2"/>
        <v>0</v>
      </c>
    </row>
    <row r="172" spans="1:3">
      <c r="A172">
        <v>164</v>
      </c>
      <c r="B172">
        <v>0</v>
      </c>
      <c r="C172">
        <f t="shared" si="2"/>
        <v>0</v>
      </c>
    </row>
    <row r="173" spans="1:3">
      <c r="A173">
        <v>165</v>
      </c>
      <c r="B173">
        <v>0</v>
      </c>
      <c r="C173">
        <f t="shared" si="2"/>
        <v>0</v>
      </c>
    </row>
    <row r="174" spans="1:3">
      <c r="A174">
        <v>166</v>
      </c>
      <c r="B174">
        <v>0</v>
      </c>
      <c r="C174">
        <f t="shared" si="2"/>
        <v>0</v>
      </c>
    </row>
    <row r="175" spans="1:3">
      <c r="A175">
        <v>167</v>
      </c>
      <c r="B175">
        <v>0</v>
      </c>
      <c r="C175">
        <f t="shared" si="2"/>
        <v>0</v>
      </c>
    </row>
    <row r="176" spans="1:3">
      <c r="A176">
        <v>168</v>
      </c>
      <c r="B176">
        <v>0</v>
      </c>
      <c r="C176">
        <f t="shared" si="2"/>
        <v>0</v>
      </c>
    </row>
    <row r="177" spans="1:3">
      <c r="A177">
        <v>169</v>
      </c>
      <c r="B177">
        <v>0</v>
      </c>
      <c r="C177">
        <f t="shared" si="2"/>
        <v>0</v>
      </c>
    </row>
    <row r="178" spans="1:3">
      <c r="A178">
        <v>170</v>
      </c>
      <c r="B178">
        <v>0</v>
      </c>
      <c r="C178">
        <f t="shared" si="2"/>
        <v>0</v>
      </c>
    </row>
    <row r="179" spans="1:3">
      <c r="A179">
        <v>171</v>
      </c>
      <c r="B179">
        <v>0</v>
      </c>
      <c r="C179">
        <f t="shared" si="2"/>
        <v>0</v>
      </c>
    </row>
    <row r="180" spans="1:3">
      <c r="A180">
        <v>172</v>
      </c>
      <c r="B180">
        <v>0</v>
      </c>
      <c r="C180">
        <f t="shared" si="2"/>
        <v>0</v>
      </c>
    </row>
    <row r="181" spans="1:3">
      <c r="A181">
        <v>173</v>
      </c>
      <c r="B181">
        <v>0</v>
      </c>
      <c r="C181">
        <f t="shared" si="2"/>
        <v>0</v>
      </c>
    </row>
    <row r="182" spans="1:3">
      <c r="A182">
        <v>174</v>
      </c>
      <c r="B182">
        <v>0</v>
      </c>
      <c r="C182">
        <f>SUM(B176:B$188)</f>
        <v>0</v>
      </c>
    </row>
    <row r="183" spans="1:3">
      <c r="A183">
        <v>175</v>
      </c>
      <c r="B183">
        <v>0</v>
      </c>
      <c r="C183">
        <f>SUM(B177:B$188)</f>
        <v>0</v>
      </c>
    </row>
    <row r="184" spans="1:3">
      <c r="A184">
        <v>176</v>
      </c>
      <c r="B184">
        <v>0</v>
      </c>
      <c r="C184">
        <f>SUM(B178:B$188)</f>
        <v>0</v>
      </c>
    </row>
    <row r="185" spans="1:3">
      <c r="A185">
        <v>177</v>
      </c>
      <c r="B185">
        <v>0</v>
      </c>
      <c r="C185">
        <f>SUM(B179:B$188)</f>
        <v>0</v>
      </c>
    </row>
    <row r="186" spans="1:3">
      <c r="A186">
        <v>178</v>
      </c>
      <c r="B186">
        <v>0</v>
      </c>
      <c r="C186">
        <f>SUM(B180:B$188)</f>
        <v>0</v>
      </c>
    </row>
    <row r="187" spans="1:3">
      <c r="A187">
        <v>179</v>
      </c>
      <c r="B187">
        <v>0</v>
      </c>
      <c r="C187">
        <f>SUM(B181:B$188)</f>
        <v>0</v>
      </c>
    </row>
    <row r="188" spans="1:3">
      <c r="A188">
        <v>180</v>
      </c>
      <c r="B188">
        <v>0</v>
      </c>
      <c r="C188">
        <f>SUM(B182:B$188)</f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kosei</dc:creator>
  <cp:lastModifiedBy>吉澤 弘成</cp:lastModifiedBy>
  <dcterms:created xsi:type="dcterms:W3CDTF">2023-08-25T07:02:57Z</dcterms:created>
  <dcterms:modified xsi:type="dcterms:W3CDTF">2023-09-03T16:04:04Z</dcterms:modified>
</cp:coreProperties>
</file>